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f84b1d5ec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polacao" sheetId="1" r:id="R1b4aa25ad961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E+00"/>
    <x:numFmt numFmtId="202" formatCode="#,##0.00"/>
    <x:numFmt numFmtId="203" formatCode="0.000000"/>
    <x:numFmt numFmtId="204" formatCode="#,##0.000"/>
  </x:numFmts>
  <x:fonts count="8">
    <x:font>
      <x:sz val="11"/>
      <x:name val="Carlito"/>
    </x:font>
    <x:font>
      <x:sz val="10"/>
      <x:color rgb="FF263746"/>
      <x:name val="Arial"/>
    </x:font>
    <x:font>
      <x:b/>
      <x:sz val="16"/>
      <x:color rgb="FF263746"/>
      <x:name val="Arial"/>
    </x:font>
    <x:font>
      <x:sz val="11"/>
      <x:color rgb="FF263746"/>
      <x:name val="Arial"/>
    </x:font>
    <x:font>
      <x:b/>
      <x:sz val="11"/>
      <x:color rgb="FF263746"/>
      <x:name val="Arial"/>
    </x:font>
    <x:font>
      <x:sz val="10"/>
      <x:color rgb="FF263746"/>
      <x:name val="Arial"/>
    </x:font>
    <x:font>
      <x:b/>
      <x:sz val="10"/>
      <x:color rgb="FF263746"/>
      <x:name val="Arial"/>
    </x:font>
    <x:font>
      <x:sz val="9"/>
      <x:color rgb="FF26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6FA"/>
      </x:patternFill>
    </x:fill>
    <x:fill>
      <x:patternFill patternType="solid">
        <x:fgColor rgb="FFEDF0F3"/>
      </x:patternFill>
    </x:fill>
  </x:fills>
  <x:borders count="2">
    <x:border/>
    <x:border>
      <x:bottom style="thin">
        <x:color rgb="FFBFC7CE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B2020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33141cbc140a7" /><Relationship Type="http://schemas.openxmlformats.org/officeDocument/2006/relationships/theme" Target="/xl/theme/theme1.xml" Id="R8accf770297a48ce" /><Relationship Type="http://schemas.openxmlformats.org/officeDocument/2006/relationships/sharedStrings" Target="/xl/sharedStrings.xml" Id="R6f1fe126070b4e3a" /><Relationship Type="http://schemas.openxmlformats.org/officeDocument/2006/relationships/worksheet" Target="/xl/worksheets/sheet1.xml" Id="R1b4aa25ad9614f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d9bdf94ebe54c3a" /><Relationship Type="http://schemas.openxmlformats.org/officeDocument/2006/relationships/chart" Target="/xl/drawings/charts/chart1.xml" Id="R88a70242a5454c68" /><Relationship Type="http://schemas.openxmlformats.org/officeDocument/2006/relationships/chart" Target="/xl/drawings/charts/chart2.xml" Id="R6b17b78950ad4fcc" /><Relationship Type="http://schemas.openxmlformats.org/officeDocument/2006/relationships/chart" Target="/xl/drawings/charts/chart3.xml" Id="Ref3d9536c6a8459d" /><Relationship Type="http://schemas.openxmlformats.org/officeDocument/2006/relationships/chart" Target="/xl/drawings/charts/chart4.xml" Id="Rabf6f1d43a2e41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Resistência total × Fn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Froude</c:v>
          </c:tx>
          <c:spPr>
            <a:solidFill xmlns:a="http://schemas.openxmlformats.org/drawingml/2006/main">
              <a:srgbClr val="304D66"/>
            </a:solidFill>
            <a:ln xmlns:a="http://schemas.openxmlformats.org/drawingml/2006/main" w="19050">
              <a:solidFill>
                <a:srgbClr val="304D66"/>
              </a:solidFill>
              <a:prstDash val="solid"/>
            </a:ln>
          </c:spPr>
          <c:xVal>
            <c:numRef>
              <c:f>'Extrapolacao'!$C$25:$C$30</c:f>
              <c:numCache>
                <c:formatCode>0.000</c:formatCode>
                <c:ptCount val="0"/>
              </c:numCache>
            </c:numRef>
          </c:xVal>
          <c:yVal>
            <c:numRef>
              <c:f>'Extrapolacao'!$F$25:$F$30</c:f>
              <c:numCache>
                <c:formatCode>#,##0.00</c:formatCode>
                <c:ptCount val="0"/>
              </c:numCache>
            </c:numRef>
          </c:yVal>
        </c:ser>
        <c:ser>
          <c:idx val="1"/>
          <c:order val="1"/>
          <c:tx>
            <c:v>Hughes</c:v>
          </c:tx>
          <c:spPr>
            <a:solidFill xmlns:a="http://schemas.openxmlformats.org/drawingml/2006/main">
              <a:srgbClr val="7F8B95"/>
            </a:solidFill>
            <a:ln xmlns:a="http://schemas.openxmlformats.org/drawingml/2006/main" w="19050">
              <a:solidFill>
                <a:srgbClr val="7F8B95"/>
              </a:solidFill>
              <a:prstDash val="dash"/>
            </a:ln>
          </c:spPr>
          <c:xVal>
            <c:numRef>
              <c:f>'Extrapolacao'!$C$25:$C$30</c:f>
              <c:numCache>
                <c:formatCode>0.000</c:formatCode>
                <c:ptCount val="0"/>
              </c:numCache>
            </c:numRef>
          </c:xVal>
          <c:yVal>
            <c:numRef>
              <c:f>'Extrapolacao'!$G$25:$G$30</c:f>
              <c:numCache>
                <c:formatCode>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RTs (kN)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Fn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Potência efetiva × Fn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Froude</c:v>
          </c:tx>
          <c:spPr>
            <a:solidFill xmlns:a="http://schemas.openxmlformats.org/drawingml/2006/main">
              <a:srgbClr val="304D66"/>
            </a:solidFill>
            <a:ln xmlns:a="http://schemas.openxmlformats.org/drawingml/2006/main" w="19050">
              <a:solidFill>
                <a:srgbClr val="304D66"/>
              </a:solidFill>
              <a:prstDash val="solid"/>
            </a:ln>
          </c:spPr>
          <c:xVal>
            <c:numRef>
              <c:f>'Extrapolacao'!$C$25:$C$30</c:f>
              <c:numCache>
                <c:formatCode>0.000</c:formatCode>
                <c:ptCount val="0"/>
              </c:numCache>
            </c:numRef>
          </c:xVal>
          <c:yVal>
            <c:numRef>
              <c:f>'Extrapolacao'!$H$25:$H$30</c:f>
              <c:numCache>
                <c:formatCode>#,##0.00</c:formatCode>
                <c:ptCount val="0"/>
              </c:numCache>
            </c:numRef>
          </c:yVal>
        </c:ser>
        <c:ser>
          <c:idx val="1"/>
          <c:order val="1"/>
          <c:tx>
            <c:v>Hughes</c:v>
          </c:tx>
          <c:spPr>
            <a:solidFill xmlns:a="http://schemas.openxmlformats.org/drawingml/2006/main">
              <a:srgbClr val="7F8B95"/>
            </a:solidFill>
            <a:ln xmlns:a="http://schemas.openxmlformats.org/drawingml/2006/main" w="19050">
              <a:solidFill>
                <a:srgbClr val="7F8B95"/>
              </a:solidFill>
              <a:prstDash val="dash"/>
            </a:ln>
          </c:spPr>
          <c:xVal>
            <c:numRef>
              <c:f>'Extrapolacao'!$C$25:$C$30</c:f>
              <c:numCache>
                <c:formatCode>0.000</c:formatCode>
                <c:ptCount val="0"/>
              </c:numCache>
            </c:numRef>
          </c:xVal>
          <c:yVal>
            <c:numRef>
              <c:f>'Extrapolacao'!$I$25:$I$30</c:f>
              <c:numCache>
                <c:formatCode>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 (kW)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Fn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Resistência total × velocidade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Froude</c:v>
          </c:tx>
          <c:spPr>
            <a:solidFill xmlns:a="http://schemas.openxmlformats.org/drawingml/2006/main">
              <a:srgbClr val="304D66"/>
            </a:solidFill>
            <a:ln xmlns:a="http://schemas.openxmlformats.org/drawingml/2006/main" w="19050">
              <a:solidFill>
                <a:srgbClr val="304D66"/>
              </a:solidFill>
              <a:prstDash val="solid"/>
            </a:ln>
          </c:spPr>
          <c:xVal>
            <c:numRef>
              <c:f>'Extrapolacao'!$E$25:$E$30</c:f>
              <c:numCache>
                <c:formatCode>0.000</c:formatCode>
                <c:ptCount val="0"/>
              </c:numCache>
            </c:numRef>
          </c:xVal>
          <c:yVal>
            <c:numRef>
              <c:f>'Extrapolacao'!$F$25:$F$30</c:f>
              <c:numCache>
                <c:formatCode>#,##0.00</c:formatCode>
                <c:ptCount val="0"/>
              </c:numCache>
            </c:numRef>
          </c:yVal>
        </c:ser>
        <c:ser>
          <c:idx val="1"/>
          <c:order val="1"/>
          <c:tx>
            <c:v>Hughes</c:v>
          </c:tx>
          <c:spPr>
            <a:solidFill xmlns:a="http://schemas.openxmlformats.org/drawingml/2006/main">
              <a:srgbClr val="7F8B95"/>
            </a:solidFill>
            <a:ln xmlns:a="http://schemas.openxmlformats.org/drawingml/2006/main" w="19050">
              <a:solidFill>
                <a:srgbClr val="7F8B95"/>
              </a:solidFill>
              <a:prstDash val="dash"/>
            </a:ln>
          </c:spPr>
          <c:xVal>
            <c:numRef>
              <c:f>'Extrapolacao'!$E$25:$E$30</c:f>
              <c:numCache>
                <c:formatCode>0.000</c:formatCode>
                <c:ptCount val="0"/>
              </c:numCache>
            </c:numRef>
          </c:xVal>
          <c:yVal>
            <c:numRef>
              <c:f>'Extrapolacao'!$G$25:$G$30</c:f>
              <c:numCache>
                <c:formatCode>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RTs (kN)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Vs (nós)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Potência efetiva × velocidade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Froude</c:v>
          </c:tx>
          <c:spPr>
            <a:solidFill xmlns:a="http://schemas.openxmlformats.org/drawingml/2006/main">
              <a:srgbClr val="304D66"/>
            </a:solidFill>
            <a:ln xmlns:a="http://schemas.openxmlformats.org/drawingml/2006/main" w="19050">
              <a:solidFill>
                <a:srgbClr val="304D66"/>
              </a:solidFill>
              <a:prstDash val="solid"/>
            </a:ln>
          </c:spPr>
          <c:xVal>
            <c:numRef>
              <c:f>'Extrapolacao'!$E$25:$E$30</c:f>
              <c:numCache>
                <c:formatCode>0.000</c:formatCode>
                <c:ptCount val="0"/>
              </c:numCache>
            </c:numRef>
          </c:xVal>
          <c:yVal>
            <c:numRef>
              <c:f>'Extrapolacao'!$H$25:$H$30</c:f>
              <c:numCache>
                <c:formatCode>#,##0.00</c:formatCode>
                <c:ptCount val="0"/>
              </c:numCache>
            </c:numRef>
          </c:yVal>
        </c:ser>
        <c:ser>
          <c:idx val="1"/>
          <c:order val="1"/>
          <c:tx>
            <c:v>Hughes</c:v>
          </c:tx>
          <c:spPr>
            <a:solidFill xmlns:a="http://schemas.openxmlformats.org/drawingml/2006/main">
              <a:srgbClr val="7F8B95"/>
            </a:solidFill>
            <a:ln xmlns:a="http://schemas.openxmlformats.org/drawingml/2006/main" w="19050">
              <a:solidFill>
                <a:srgbClr val="7F8B95"/>
              </a:solidFill>
              <a:prstDash val="dash"/>
            </a:ln>
          </c:spPr>
          <c:xVal>
            <c:numRef>
              <c:f>'Extrapolacao'!$E$25:$E$30</c:f>
              <c:numCache>
                <c:formatCode>0.000</c:formatCode>
                <c:ptCount val="0"/>
              </c:numCache>
            </c:numRef>
          </c:xVal>
          <c:yVal>
            <c:numRef>
              <c:f>'Extrapolacao'!$I$25:$I$30</c:f>
              <c:numCache>
                <c:formatCode>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 (kW)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Vs (nós)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46</xdr:row>
      <xdr:rowOff>0</xdr:rowOff>
    </xdr:from>
    <xdr:to>
      <xdr:col>7</xdr:col>
      <xdr:colOff>0</xdr:colOff>
      <xdr:row>63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a70242a5454c68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14</xdr:col>
      <xdr:colOff>0</xdr:colOff>
      <xdr:row>63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17b78950ad4fcc"/>
        </a:graphicData>
      </a:graphic>
    </xdr:graphicFrame>
    <xdr:clientData/>
  </xdr:twoCellAnchor>
  <xdr:twoCellAnchor>
    <xdr:from>
      <xdr:col>0</xdr:col>
      <xdr:colOff>0</xdr:colOff>
      <xdr:row>64</xdr:row>
      <xdr:rowOff>0</xdr:rowOff>
    </xdr:from>
    <xdr:to>
      <xdr:col>7</xdr:col>
      <xdr:colOff>0</xdr:colOff>
      <xdr:row>81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3d9536c6a8459d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14</xdr:col>
      <xdr:colOff>0</xdr:colOff>
      <xdr:row>81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f6f1d43a2e418d"/>
        </a:graphicData>
      </a:graphic>
    </xdr:graphicFrame>
    <xdr:clientData/>
  </xdr:twoCellAnchor>
  <xdr:oneCellAnchor>
    <xdr:from>
      <xdr:col>8</xdr:col>
      <xdr:colOff>0</xdr:colOff>
      <xdr:row>5</xdr:row>
      <xdr:rowOff>0</xdr:rowOff>
    </xdr:from>
    <xdr:ext cx="4476750" cy="2352675"/>
    <xdr:pic>
      <xdr:nvPicPr>
        <xdr:cNvPr id="5" name="83a6f9cf-a6da-48b4-8fd9-7c2860723e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bdf94ebe54c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418ead5424c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3" t="str">
        <x:v>Extrapolação modelo–protótipo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1" customHeight="1">
      <x:c r="A3" s="4" t="str">
        <x:v>Métodos de Froude e Hughes — Duisburg Test Case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6" t="str">
        <x:v>Dados de entrada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32" customHeight="1">
      <x:c r="A6" s="7" t="str">
        <x:v>Comprimento do modelo</x:v>
      </x:c>
      <x:c r="B6" s="7"/>
      <x:c r="C6" s="9" t="n">
        <x:v>5.976</x:v>
      </x:c>
      <x:c r="D6" s="2" t="str">
        <x:v>m</x:v>
      </x:c>
      <x:c r="E6" s="2"/>
      <x:c r="F6" s="15" t="str">
        <x:v>Vm (m/s)</x:v>
      </x:c>
      <x:c r="G6" s="15" t="str">
        <x:v>RTm (N)</x:v>
      </x:c>
      <x:c r="H6" s="15" t="str">
        <x:v>Fn publicado</x:v>
      </x:c>
      <x:c r="I6" s="2"/>
      <x:c r="J6" s="2"/>
      <x:c r="K6" s="2"/>
      <x:c r="L6" s="2"/>
      <x:c r="M6" s="2"/>
      <x:c r="N6" s="2"/>
    </x:row>
    <x:row r="7" ht="21" customHeight="1">
      <x:c r="A7" s="7" t="str">
        <x:v>Escala Ls/Lm</x:v>
      </x:c>
      <x:c r="B7" s="7"/>
      <x:c r="C7" s="9" t="n">
        <x:v>59.407</x:v>
      </x:c>
      <x:c r="D7" s="2" t="str">
        <x:v>—</x:v>
      </x:c>
      <x:c r="E7" s="2"/>
      <x:c r="F7" s="9" t="n">
        <x:v>1.335</x:v>
      </x:c>
      <x:c r="G7" s="9" t="n">
        <x:v>20.34</x:v>
      </x:c>
      <x:c r="H7" s="10" t="n">
        <x:v>0.174</x:v>
      </x:c>
      <x:c r="I7" s="2"/>
      <x:c r="J7" s="2"/>
      <x:c r="K7" s="2"/>
      <x:c r="L7" s="2"/>
      <x:c r="M7" s="2"/>
      <x:c r="N7" s="2"/>
    </x:row>
    <x:row r="8" ht="21" customHeight="1">
      <x:c r="A8" s="7" t="str">
        <x:v>Área molhada do modelo</x:v>
      </x:c>
      <x:c r="B8" s="7"/>
      <x:c r="C8" s="9" t="n">
        <x:v>6.243</x:v>
      </x:c>
      <x:c r="D8" s="2" t="str">
        <x:v>m²</x:v>
      </x:c>
      <x:c r="E8" s="2"/>
      <x:c r="F8" s="9" t="n">
        <x:v>1.401</x:v>
      </x:c>
      <x:c r="G8" s="9" t="n">
        <x:v>22.06</x:v>
      </x:c>
      <x:c r="H8" s="10" t="n">
        <x:v>0.183</x:v>
      </x:c>
      <x:c r="I8" s="2"/>
      <x:c r="J8" s="2"/>
      <x:c r="K8" s="2"/>
      <x:c r="L8" s="2"/>
      <x:c r="M8" s="2"/>
      <x:c r="N8" s="2"/>
    </x:row>
    <x:row r="9" ht="21" customHeight="1">
      <x:c r="A9" s="7" t="str">
        <x:v>Densidade da água, modelo</x:v>
      </x:c>
      <x:c r="B9" s="7"/>
      <x:c r="C9" s="9" t="n">
        <x:v>998.8</x:v>
      </x:c>
      <x:c r="D9" s="2" t="str">
        <x:v>kg/m³</x:v>
      </x:c>
      <x:c r="E9" s="2"/>
      <x:c r="F9" s="9" t="n">
        <x:v>1.469</x:v>
      </x:c>
      <x:c r="G9" s="9" t="n">
        <x:v>24.14</x:v>
      </x:c>
      <x:c r="H9" s="10" t="n">
        <x:v>0.192</x:v>
      </x:c>
      <x:c r="I9" s="2"/>
      <x:c r="J9" s="2"/>
      <x:c r="K9" s="2"/>
      <x:c r="L9" s="2"/>
      <x:c r="M9" s="2"/>
      <x:c r="N9" s="2"/>
    </x:row>
    <x:row r="10" ht="21" customHeight="1">
      <x:c r="A10" s="7" t="str">
        <x:v>Viscosidade cinemática, modelo</x:v>
      </x:c>
      <x:c r="B10" s="7"/>
      <x:c r="C10" s="11" t="n">
        <x:v>0.00000109</x:v>
      </x:c>
      <x:c r="D10" s="2" t="str">
        <x:v>m²/s</x:v>
      </x:c>
      <x:c r="E10" s="2"/>
      <x:c r="F10" s="9" t="n">
        <x:v>1.535</x:v>
      </x:c>
      <x:c r="G10" s="9" t="n">
        <x:v>26.46</x:v>
      </x:c>
      <x:c r="H10" s="10" t="n">
        <x:v>0.2</x:v>
      </x:c>
      <x:c r="I10" s="2"/>
      <x:c r="J10" s="2"/>
      <x:c r="K10" s="2"/>
      <x:c r="L10" s="2"/>
      <x:c r="M10" s="2"/>
      <x:c r="N10" s="2"/>
    </x:row>
    <x:row r="11" ht="21" customHeight="1">
      <x:c r="A11" s="7" t="str">
        <x:v>Densidade da água, protótipo</x:v>
      </x:c>
      <x:c r="B11" s="7"/>
      <x:c r="C11" s="9" t="n">
        <x:v>1025</x:v>
      </x:c>
      <x:c r="D11" s="2" t="str">
        <x:v>kg/m³</x:v>
      </x:c>
      <x:c r="E11" s="2"/>
      <x:c r="F11" s="9" t="n">
        <x:v>1.602</x:v>
      </x:c>
      <x:c r="G11" s="9" t="n">
        <x:v>28.99</x:v>
      </x:c>
      <x:c r="H11" s="10" t="n">
        <x:v>0.209</x:v>
      </x:c>
      <x:c r="I11" s="2"/>
      <x:c r="J11" s="2"/>
      <x:c r="K11" s="2"/>
      <x:c r="L11" s="2"/>
      <x:c r="M11" s="2"/>
      <x:c r="N11" s="2"/>
    </x:row>
    <x:row r="12" ht="21" customHeight="1">
      <x:c r="A12" s="7" t="str">
        <x:v>Viscosidade cinemática, protótipo</x:v>
      </x:c>
      <x:c r="B12" s="7"/>
      <x:c r="C12" s="11" t="n">
        <x:v>0.00000119</x:v>
      </x:c>
      <x:c r="D12" s="2" t="str">
        <x:v>m²/s</x:v>
      </x:c>
      <x:c r="E12" s="2"/>
      <x:c r="F12" s="9" t="n">
        <x:v>1.668</x:v>
      </x:c>
      <x:c r="G12" s="9" t="n">
        <x:v>31.83</x:v>
      </x:c>
      <x:c r="H12" s="10" t="n">
        <x:v>0.218</x:v>
      </x:c>
      <x:c r="I12" s="2"/>
      <x:c r="J12" s="2"/>
      <x:c r="K12" s="2"/>
      <x:c r="L12" s="2"/>
      <x:c r="M12" s="2"/>
      <x:c r="N12" s="2"/>
    </x:row>
    <x:row r="13" ht="21" customHeight="1">
      <x:c r="A13" s="7" t="str">
        <x:v>Fator de forma k</x:v>
      </x:c>
      <x:c r="B13" s="7"/>
      <x:c r="C13" s="9" t="n">
        <x:v>0.094</x:v>
      </x:c>
      <x:c r="D13" s="2" t="str">
        <x:v>—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7" t="str">
        <x:v>Aceleração da gravidade</x:v>
      </x:c>
      <x:c r="B14" s="7"/>
      <x:c r="C14" s="9" t="n">
        <x:v>9.81</x:v>
      </x:c>
      <x:c r="D14" s="2" t="str">
        <x:v>m/s²</x:v>
      </x:c>
      <x:c r="E14" s="2"/>
      <x:c r="F14" s="16" t="str">
        <x:v>Características do modelo</x:v>
      </x:c>
      <x:c r="G14" s="16"/>
      <x:c r="H14" s="16"/>
      <x:c r="I14" s="2"/>
      <x:c r="J14" s="2"/>
      <x:c r="K14" s="2"/>
      <x:c r="L14" s="2"/>
      <x:c r="M14" s="2"/>
      <x:c r="N14" s="2"/>
    </x:row>
    <x:row r="15" ht="21" customHeight="1">
      <x:c r="A15" s="7" t="str">
        <x:v>Comprimento do protótipo</x:v>
      </x:c>
      <x:c r="B15" s="7"/>
      <x:c r="C15" s="10" t="n">
        <x:f>C6*C7</x:f>
        <x:v>355.016232</x:v>
      </x:c>
      <x:c r="D15" s="2" t="str">
        <x:v>m</x:v>
      </x:c>
      <x:c r="E15" s="2"/>
      <x:c r="F15" s="2" t="str">
        <x:v>Boca</x:v>
      </x:c>
      <x:c r="G15" s="10" t="n">
        <x:v>0.859</x:v>
      </x:c>
      <x:c r="H15" s="2" t="str">
        <x:v>m</x:v>
      </x:c>
      <x:c r="I15" s="2"/>
      <x:c r="J15" s="2"/>
      <x:c r="K15" s="2"/>
      <x:c r="L15" s="2"/>
      <x:c r="M15" s="2"/>
      <x:c r="N15" s="2"/>
    </x:row>
    <x:row r="16" ht="21" customHeight="1">
      <x:c r="A16" s="7" t="str">
        <x:v>Área molhada do protótipo</x:v>
      </x:c>
      <x:c r="B16" s="7"/>
      <x:c r="C16" s="10" t="n">
        <x:f>C8*C7^2</x:f>
        <x:v>22032.743464706997</x:v>
      </x:c>
      <x:c r="D16" s="2" t="str">
        <x:v>m²</x:v>
      </x:c>
      <x:c r="E16" s="2"/>
      <x:c r="F16" s="2" t="str">
        <x:v>Calado</x:v>
      </x:c>
      <x:c r="G16" s="10" t="n">
        <x:v>0.244</x:v>
      </x:c>
      <x:c r="H16" s="2" t="str">
        <x:v>m</x:v>
      </x:c>
      <x:c r="I16" s="2"/>
      <x:c r="J16" s="2"/>
      <x:c r="K16" s="2"/>
      <x:c r="L16" s="2"/>
      <x:c r="M16" s="2"/>
      <x:c r="N16" s="2"/>
    </x:row>
    <x:row r="17" ht="21" customHeight="1">
      <x:c r="A17" s="7" t="str">
        <x:v>Conversão de nó para m/s</x:v>
      </x:c>
      <x:c r="B17" s="7"/>
      <x:c r="C17" s="10" t="n">
        <x:v>0.5144444444444445</x:v>
      </x:c>
      <x:c r="D17" s="2" t="str">
        <x:v>m/s</x:v>
      </x:c>
      <x:c r="E17" s="2"/>
      <x:c r="F17" s="2" t="str">
        <x:v>Volume</x:v>
      </x:c>
      <x:c r="G17" s="10" t="n">
        <x:v>0.827</x:v>
      </x:c>
      <x:c r="H17" s="2" t="str">
        <x:v>m³</x:v>
      </x:c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/>
      <x:c r="D18" s="2"/>
      <x:c r="E18" s="2"/>
      <x:c r="F18" s="2" t="str">
        <x:v>Coef. de bloco</x:v>
      </x:c>
      <x:c r="G18" s="10" t="n">
        <x:v>0.661</x:v>
      </x:c>
      <x:c r="H18" s="2" t="str">
        <x:v>—</x:v>
      </x:c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17" t="str">
        <x:v>Casco DTC. Chiroșcă e Rusu (2021), fig. 1. CC BY 4.0.</x:v>
      </x:c>
      <x:c r="J19" s="17"/>
      <x:c r="K19" s="17"/>
      <x:c r="L19" s="17"/>
      <x:c r="M19" s="17"/>
      <x:c r="N19" s="17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30" customHeight="1">
      <x:c r="A21" s="18" t="str">
        <x:v>Células em azul claro: parâmetros e dados de ensaio editáveis. Para outra velocidade, informe a resistência medida correspondente.</x:v>
      </x:c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1" customHeight="1">
      <x:c r="A23" s="6" t="str">
        <x:v>Resultados da extrapolação</x:v>
      </x:c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 ht="32" customHeight="1">
      <x:c r="A24" s="15" t="str">
        <x:v>Vm (m/s)</x:v>
      </x:c>
      <x:c r="B24" s="15" t="str">
        <x:v>RTm (N)</x:v>
      </x:c>
      <x:c r="C24" s="15" t="str">
        <x:v>Fn</x:v>
      </x:c>
      <x:c r="D24" s="15" t="str">
        <x:v>Vs (m/s)</x:v>
      </x:c>
      <x:c r="E24" s="15" t="str">
        <x:v>Vs (nós)</x:v>
      </x:c>
      <x:c r="F24" s="15" t="str">
        <x:v>RT Froude (kN)</x:v>
      </x:c>
      <x:c r="G24" s="15" t="str">
        <x:v>RT Hughes (kN)</x:v>
      </x:c>
      <x:c r="H24" s="15" t="str">
        <x:v>PE Froude (kW)</x:v>
      </x:c>
      <x:c r="I24" s="15" t="str">
        <x:v>PE Hughes (kW)</x:v>
      </x:c>
      <x:c r="J24" s="2"/>
      <x:c r="K24" s="2"/>
      <x:c r="L24" s="2"/>
      <x:c r="M24" s="2"/>
      <x:c r="N24" s="2"/>
    </x:row>
    <x:row r="25" ht="21" customHeight="1">
      <x:c r="A25" s="10" t="n">
        <x:f>F7</x:f>
        <x:v>1.335</x:v>
      </x:c>
      <x:c r="B25" s="10" t="n">
        <x:f>G7</x:f>
        <x:v>20.34</x:v>
      </x:c>
      <x:c r="C25" s="10" t="n">
        <x:f>A25/SQRT($C$14*$C$6)</x:f>
        <x:v>0.1743578349435217</x:v>
      </x:c>
      <x:c r="D25" s="10" t="n">
        <x:f>A25*SQRT($C$7)</x:f>
        <x:v>10.289637533703507</x:v>
      </x:c>
      <x:c r="E25" s="10" t="n">
        <x:f>D25/$C$17</x:f>
        <x:v>20.00145524909969</x:v>
      </x:c>
      <x:c r="F25" s="19" t="n">
        <x:f>I36*0.5*$C$11*$C$16*D25^2/1000</x:f>
        <x:v>2186.6124029954526</x:v>
      </x:c>
      <x:c r="G25" s="19" t="n">
        <x:f>J36*0.5*$C$11*$C$16*D25^2/1000</x:f>
        <x:v>1980.7798185879562</x:v>
      </x:c>
      <x:c r="H25" s="19" t="n">
        <x:f>F25*D25</x:f>
        <x:v>22499.44905352363</x:v>
      </x:c>
      <x:c r="I25" s="19" t="n">
        <x:f>G25*D25</x:f>
        <x:v>20381.506367345057</x:v>
      </x:c>
      <x:c r="J25" s="2"/>
      <x:c r="K25" s="5" t="str">
        <x:v>PE = RTs × Vs</x:v>
      </x:c>
      <x:c r="L25" s="5"/>
      <x:c r="M25" s="5"/>
      <x:c r="N25" s="5"/>
    </x:row>
    <x:row r="26" ht="21" customHeight="1">
      <x:c r="A26" s="10" t="n">
        <x:f>F8</x:f>
        <x:v>1.401</x:v>
      </x:c>
      <x:c r="B26" s="10" t="n">
        <x:f>G8</x:f>
        <x:v>22.06</x:v>
      </x:c>
      <x:c r="C26" s="10" t="n">
        <x:f>A26/SQRT($C$14*$C$6)</x:f>
        <x:v>0.18297777285084185</x:v>
      </x:c>
      <x:c r="D26" s="10" t="n">
        <x:f>A26*SQRT($C$7)</x:f>
        <x:v>10.798338715145029</x:v>
      </x:c>
      <x:c r="E26" s="10" t="n">
        <x:f>D26/$C$17</x:f>
        <x:v>20.99029123894282</x:v>
      </x:c>
      <x:c r="F26" s="19" t="n">
        <x:f>I37*0.5*$C$11*$C$16*D26^2/1000</x:f>
        <x:v>2360.728245336703</x:v>
      </x:c>
      <x:c r="G26" s="19" t="n">
        <x:f>J37*0.5*$C$11*$C$16*D26^2/1000</x:f>
        <x:v>2136.47574880657</x:v>
      </x:c>
      <x:c r="H26" s="19" t="n">
        <x:f>F26*D26</x:f>
        <x:v>25491.943207555712</x:v>
      </x:c>
      <x:c r="I26" s="19" t="n">
        <x:f>G26*D26</x:f>
        <x:v>23070.388792306454</x:v>
      </x:c>
      <x:c r="J26" s="2"/>
      <x:c r="K26" s="5"/>
      <x:c r="L26" s="5"/>
      <x:c r="M26" s="5"/>
      <x:c r="N26" s="5"/>
    </x:row>
    <x:row r="27" ht="21" customHeight="1">
      <x:c r="A27" s="10" t="n">
        <x:f>F9</x:f>
        <x:v>1.469</x:v>
      </x:c>
      <x:c r="B27" s="10" t="n">
        <x:f>G9</x:f>
        <x:v>24.14</x:v>
      </x:c>
      <x:c r="C27" s="10" t="n">
        <x:f>A27/SQRT($C$14*$C$6)</x:f>
        <x:v>0.19185892099777782</x:v>
      </x:c>
      <x:c r="D27" s="10" t="n">
        <x:f>A27*SQRT($C$7)</x:f>
        <x:v>11.32245508390296</x:v>
      </x:c>
      <x:c r="E27" s="10" t="n">
        <x:f>D27/$C$17</x:f>
        <x:v>22.009091955750893</x:v>
      </x:c>
      <x:c r="F27" s="19" t="n">
        <x:f>I38*0.5*$C$11*$C$16*D27^2/1000</x:f>
        <x:v>2598.625738284179</x:v>
      </x:c>
      <x:c r="G27" s="19" t="n">
        <x:f>J38*0.5*$C$11*$C$16*D27^2/1000</x:f>
        <x:v>2354.6678463761996</x:v>
      </x:c>
      <x:c r="H27" s="19" t="n">
        <x:f>F27*D27</x:f>
        <x:v>29422.823201596788</x:v>
      </x:c>
      <x:c r="I27" s="19" t="n">
        <x:f>G27*D27</x:f>
        <x:v>26660.620928105036</x:v>
      </x:c>
      <x:c r="J27" s="2"/>
      <x:c r="K27" s="2"/>
      <x:c r="L27" s="2"/>
      <x:c r="M27" s="2"/>
      <x:c r="N27" s="2"/>
    </x:row>
    <x:row r="28" ht="21" customHeight="1">
      <x:c r="A28" s="10" t="n">
        <x:f>F10</x:f>
        <x:v>1.535</x:v>
      </x:c>
      <x:c r="B28" s="10" t="n">
        <x:f>G10</x:f>
        <x:v>26.46</x:v>
      </x:c>
      <x:c r="C28" s="10" t="n">
        <x:f>A28/SQRT($C$14*$C$6)</x:f>
        <x:v>0.20047885890509795</x:v>
      </x:c>
      <x:c r="D28" s="10" t="n">
        <x:f>A28*SQRT($C$7)</x:f>
        <x:v>11.83115626534448</x:v>
      </x:c>
      <x:c r="E28" s="10" t="n">
        <x:f>D28/$C$17</x:f>
        <x:v>22.99792794559402</x:v>
      </x:c>
      <x:c r="F28" s="19" t="n">
        <x:f>I39*0.5*$C$11*$C$16*D28^2/1000</x:f>
        <x:v>2886.8842585526772</x:v>
      </x:c>
      <x:c r="G28" s="19" t="n">
        <x:f>J39*0.5*$C$11*$C$16*D28^2/1000</x:f>
        <x:v>2623.1009355602296</x:v>
      </x:c>
      <x:c r="H28" s="19" t="n">
        <x:f>F28*D28</x:f>
        <x:v>34155.178782899864</x:v>
      </x:c>
      <x:c r="I28" s="19" t="n">
        <x:f>G28*D28</x:f>
        <x:v>31034.31706838438</x:v>
      </x:c>
      <x:c r="J28" s="2"/>
      <x:c r="K28" s="18" t="str">
        <x:v>Potência efetiva em água calma, sem margem de serviço ou rendimento propulsivo.</x:v>
      </x:c>
      <x:c r="L28" s="18"/>
      <x:c r="M28" s="18"/>
      <x:c r="N28" s="18"/>
    </x:row>
    <x:row r="29" ht="21" customHeight="1">
      <x:c r="A29" s="10" t="n">
        <x:f>F11</x:f>
        <x:v>1.602</x:v>
      </x:c>
      <x:c r="B29" s="10" t="n">
        <x:f>G11</x:f>
        <x:v>28.99</x:v>
      </x:c>
      <x:c r="C29" s="10" t="n">
        <x:f>A29/SQRT($C$14*$C$6)</x:f>
        <x:v>0.20922940193222603</x:v>
      </x:c>
      <x:c r="D29" s="10" t="n">
        <x:f>A29*SQRT($C$7)</x:f>
        <x:v>12.34756504044421</x:v>
      </x:c>
      <x:c r="E29" s="10" t="n">
        <x:f>D29/$C$17</x:f>
        <x:v>24.001746298919628</x:v>
      </x:c>
      <x:c r="F29" s="19" t="n">
        <x:f>I40*0.5*$C$11*$C$16*D29^2/1000</x:f>
        <x:v>3209.6956022033064</x:v>
      </x:c>
      <x:c r="G29" s="19" t="n">
        <x:f>J40*0.5*$C$11*$C$16*D29^2/1000</x:f>
        <x:v>2925.087587783863</x:v>
      </x:c>
      <x:c r="H29" s="19" t="n">
        <x:f>F29*D29</x:f>
        <x:v>39631.92520823307</x:v>
      </x:c>
      <x:c r="I29" s="19" t="n">
        <x:f>G29*D29</x:f>
        <x:v>36117.70923915731</x:v>
      </x:c>
      <x:c r="J29" s="2"/>
      <x:c r="K29" s="18"/>
      <x:c r="L29" s="18"/>
      <x:c r="M29" s="18"/>
      <x:c r="N29" s="18"/>
    </x:row>
    <x:row r="30" ht="21" customHeight="1">
      <x:c r="A30" s="10" t="n">
        <x:f>F12</x:f>
        <x:v>1.668</x:v>
      </x:c>
      <x:c r="B30" s="10" t="n">
        <x:f>G12</x:f>
        <x:v>31.83</x:v>
      </x:c>
      <x:c r="C30" s="10" t="n">
        <x:f>A30/SQRT($C$14*$C$6)</x:f>
        <x:v>0.21784933983954619</x:v>
      </x:c>
      <x:c r="D30" s="10" t="n">
        <x:f>A30*SQRT($C$7)</x:f>
        <x:v>12.856266221885729</x:v>
      </x:c>
      <x:c r="E30" s="10" t="n">
        <x:f>D30/$C$17</x:f>
        <x:v>24.990582288762756</x:v>
      </x:c>
      <x:c r="F30" s="19" t="n">
        <x:f>I41*0.5*$C$11*$C$16*D30^2/1000</x:f>
        <x:v>3595.247961398656</x:v>
      </x:c>
      <x:c r="G30" s="19" t="n">
        <x:f>J41*0.5*$C$11*$C$16*D30^2/1000</x:f>
        <x:v>3289.4431968251415</x:v>
      </x:c>
      <x:c r="H30" s="19" t="n">
        <x:f>F30*D30</x:f>
        <x:v>46221.46492543307</x:v>
      </x:c>
      <x:c r="I30" s="19" t="n">
        <x:f>G30*D30</x:f>
        <x:v>42289.957460154874</x:v>
      </x:c>
      <x:c r="J30" s="2"/>
      <x:c r="K30" s="18"/>
      <x:c r="L30" s="18"/>
      <x:c r="M30" s="18"/>
      <x:c r="N30" s="18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6" t="str">
        <x:v>Coeficientes e números de Reynolds</x:v>
      </x:c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32" customHeight="1">
      <x:c r="A35" s="15" t="str">
        <x:v>Vm (m/s)</x:v>
      </x:c>
      <x:c r="B35" s="15" t="str">
        <x:v>Re modelo</x:v>
      </x:c>
      <x:c r="C35" s="15" t="str">
        <x:v>Re protótipo</x:v>
      </x:c>
      <x:c r="D35" s="15" t="str">
        <x:v>CTm</x:v>
      </x:c>
      <x:c r="E35" s="15" t="str">
        <x:v>CFm</x:v>
      </x:c>
      <x:c r="F35" s="15" t="str">
        <x:v>CFs</x:v>
      </x:c>
      <x:c r="G35" s="15" t="str">
        <x:v>CRm</x:v>
      </x:c>
      <x:c r="H35" s="15" t="str">
        <x:v>CWm</x:v>
      </x:c>
      <x:c r="I35" s="15" t="str">
        <x:v>CTs Froude</x:v>
      </x:c>
      <x:c r="J35" s="15" t="str">
        <x:v>CTs Hughes</x:v>
      </x:c>
      <x:c r="K35" s="2"/>
      <x:c r="L35" s="2"/>
      <x:c r="M35" s="2"/>
      <x:c r="N35" s="2"/>
    </x:row>
    <x:row r="36" ht="21" customHeight="1">
      <x:c r="A36" s="10" t="n">
        <x:f>A25</x:f>
        <x:v>1.335</x:v>
      </x:c>
      <x:c r="B36" s="20" t="n">
        <x:f>A36*$C$6/$C$10</x:f>
        <x:v>7319229.357798165</x:v>
      </x:c>
      <x:c r="C36" s="20" t="n">
        <x:f>D25*$C$15/$C$12</x:f>
        <x:v>3069738105.7657075</x:v>
      </x:c>
      <x:c r="D36" s="21" t="n">
        <x:f>B25/(0.5*$C$9*$C$8*A25^2)</x:f>
        <x:v>0.0036605516934638607</x:v>
      </x:c>
      <x:c r="E36" s="21" t="n">
        <x:f>0.075/(LOG10(B36)-2)^2</x:f>
        <x:v>0.0031695020264097375</x:v>
      </x:c>
      <x:c r="F36" s="21" t="n">
        <x:f>0.075/(LOG10(C36)-2)^2</x:f>
        <x:v>0.0013379313871426533</x:v>
      </x:c>
      <x:c r="G36" s="21" t="n">
        <x:f>D36-E36</x:f>
        <x:v>0.0004910496670541232</x:v>
      </x:c>
      <x:c r="H36" s="21" t="n">
        <x:f>D36-(1+$C$13)*E36</x:f>
        <x:v>0.00019311647657160782</x:v>
      </x:c>
      <x:c r="I36" s="21" t="n">
        <x:f>G36+F36</x:f>
        <x:v>0.0018289810541967765</x:v>
      </x:c>
      <x:c r="J36" s="21" t="n">
        <x:f>H36+(1+$C$13)*F36</x:f>
        <x:v>0.0016568134141056706</x:v>
      </x:c>
      <x:c r="K36" s="2"/>
      <x:c r="L36" s="2"/>
      <x:c r="M36" s="2"/>
      <x:c r="N36" s="2"/>
    </x:row>
    <x:row r="37" ht="21" customHeight="1">
      <x:c r="A37" s="10" t="n">
        <x:f>A26</x:f>
        <x:v>1.401</x:v>
      </x:c>
      <x:c r="B37" s="20" t="n">
        <x:f>A37*$C$6/$C$10</x:f>
        <x:v>7681078.89908257</x:v>
      </x:c>
      <x:c r="C37" s="20" t="n">
        <x:f>D26*$C$15/$C$12</x:f>
        <x:v>3221500439.084461</x:v>
      </x:c>
      <x:c r="D37" s="21" t="n">
        <x:f>B26/(0.5*$C$9*$C$8*A26^2)</x:f>
        <x:v>0.0036048513812987383</x:v>
      </x:c>
      <x:c r="E37" s="21" t="n">
        <x:f>0.075/(LOG10(B37)-2)^2</x:f>
        <x:v>0.0031423680873653615</x:v>
      </x:c>
      <x:c r="F37" s="21" t="n">
        <x:f>0.075/(LOG10(C37)-2)^2</x:f>
        <x:v>0.0013304728083361342</x:v>
      </x:c>
      <x:c r="G37" s="21" t="n">
        <x:f>D37-E37</x:f>
        <x:v>0.00046248329393337685</x:v>
      </x:c>
      <x:c r="H37" s="21" t="n">
        <x:f>D37-(1+$C$13)*E37</x:f>
        <x:v>0.00016710069372103276</x:v>
      </x:c>
      <x:c r="I37" s="21" t="n">
        <x:f>G37+F37</x:f>
        <x:v>0.001792956102269511</x:v>
      </x:c>
      <x:c r="J37" s="21" t="n">
        <x:f>H37+(1+$C$13)*F37</x:f>
        <x:v>0.0016226379460407636</x:v>
      </x:c>
      <x:c r="K37" s="2"/>
      <x:c r="L37" s="2"/>
      <x:c r="M37" s="2"/>
      <x:c r="N37" s="2"/>
    </x:row>
    <x:row r="38" ht="21" customHeight="1">
      <x:c r="A38" s="10" t="n">
        <x:f>A27</x:f>
        <x:v>1.469</x:v>
      </x:c>
      <x:c r="B38" s="20" t="n">
        <x:f>A38*$C$6/$C$10</x:f>
        <x:v>8053893.577981652</x:v>
      </x:c>
      <x:c r="C38" s="20" t="n">
        <x:f>D27*$C$15/$C$12</x:f>
        <x:v>3377861630.9886327</x:v>
      </x:c>
      <x:c r="D38" s="21" t="n">
        <x:f>B27/(0.5*$C$9*$C$8*A27^2)</x:f>
        <x:v>0.003587994769224423</x:v>
      </x:c>
      <x:c r="E38" s="21" t="n">
        <x:f>0.075/(LOG10(B38)-2)^2</x:f>
        <x:v>0.003116055135234915</x:v>
      </x:c>
      <x:c r="F38" s="21" t="n">
        <x:f>0.075/(LOG10(C38)-2)^2</x:f>
        <x:v>0.00132320760331868</x:v>
      </x:c>
      <x:c r="G38" s="21" t="n">
        <x:f>D38-E38</x:f>
        <x:v>0.00047193963398950824</x:v>
      </x:c>
      <x:c r="H38" s="21" t="n">
        <x:f>D38-(1+$C$13)*E38</x:f>
        <x:v>0.00017903045127742618</x:v>
      </x:c>
      <x:c r="I38" s="21" t="n">
        <x:f>G38+F38</x:f>
        <x:v>0.0017951472373081883</x:v>
      </x:c>
      <x:c r="J38" s="21" t="n">
        <x:f>H38+(1+$C$13)*F38</x:f>
        <x:v>0.0016266195693080622</x:v>
      </x:c>
      <x:c r="K38" s="2"/>
      <x:c r="L38" s="2"/>
      <x:c r="M38" s="2"/>
      <x:c r="N38" s="2"/>
    </x:row>
    <x:row r="39" ht="21" customHeight="1">
      <x:c r="A39" s="10" t="n">
        <x:f>A28</x:f>
        <x:v>1.535</x:v>
      </x:c>
      <x:c r="B39" s="20" t="n">
        <x:f>A39*$C$6/$C$10</x:f>
        <x:v>8415743.119266056</x:v>
      </x:c>
      <x:c r="C39" s="20" t="n">
        <x:f>D28*$C$15/$C$12</x:f>
        <x:v>3529623964.3073864</x:v>
      </x:c>
      <x:c r="D39" s="21" t="n">
        <x:f>B28/(0.5*$C$9*$C$8*A28^2)</x:f>
        <x:v>0.0036018963176037777</x:v>
      </x:c>
      <x:c r="E39" s="21" t="n">
        <x:f>0.075/(LOG10(B39)-2)^2</x:f>
        <x:v>0.0030919501646909237</x:v>
      </x:c>
      <x:c r="F39" s="21" t="n">
        <x:f>0.075/(LOG10(C39)-2)^2</x:f>
        <x:v>0.0013165238492808672</x:v>
      </x:c>
      <x:c r="G39" s="21" t="n">
        <x:f>D39-E39</x:f>
        <x:v>0.0005099461529128541</x:v>
      </x:c>
      <x:c r="H39" s="21" t="n">
        <x:f>D39-(1+$C$13)*E39</x:f>
        <x:v>0.00021930283743190702</x:v>
      </x:c>
      <x:c r="I39" s="21" t="n">
        <x:f>G39+F39</x:f>
        <x:v>0.0018264700021937213</x:v>
      </x:c>
      <x:c r="J39" s="21" t="n">
        <x:f>H39+(1+$C$13)*F39</x:f>
        <x:v>0.0016595799285451759</x:v>
      </x:c>
      <x:c r="K39" s="2"/>
      <x:c r="L39" s="2"/>
      <x:c r="M39" s="2"/>
      <x:c r="N39" s="2"/>
    </x:row>
    <x:row r="40" ht="21" customHeight="1">
      <x:c r="A40" s="10" t="n">
        <x:f>A29</x:f>
        <x:v>1.602</x:v>
      </x:c>
      <x:c r="B40" s="20" t="n">
        <x:f>A40*$C$6/$C$10</x:f>
        <x:v>8783075.2293578</x:v>
      </x:c>
      <x:c r="C40" s="20" t="n">
        <x:f>D29*$C$15/$C$12</x:f>
        <x:v>3683685726.9188495</x:v>
      </x:c>
      <x:c r="D40" s="21" t="n">
        <x:f>B29/(0.5*$C$9*$C$8*A29^2)</x:f>
        <x:v>0.0036231083249179674</x:v>
      </x:c>
      <x:c r="E40" s="21" t="n">
        <x:f>0.075/(LOG10(B40)-2)^2</x:f>
        <x:v>0.003068784756496302</x:v>
      </x:c>
      <x:c r="F40" s="21" t="n">
        <x:f>0.075/(LOG10(C40)-2)^2</x:f>
        <x:v>0.0013100749737805224</x:v>
      </x:c>
      <x:c r="G40" s="21" t="n">
        <x:f>D40-E40</x:f>
        <x:v>0.0005543235684216654</x:v>
      </x:c>
      <x:c r="H40" s="21" t="n">
        <x:f>D40-(1+$C$13)*E40</x:f>
        <x:v>0.00026585780131101275</x:v>
      </x:c>
      <x:c r="I40" s="21" t="n">
        <x:f>G40+F40</x:f>
        <x:v>0.0018643985422021878</x:v>
      </x:c>
      <x:c r="J40" s="21" t="n">
        <x:f>H40+(1+$C$13)*F40</x:f>
        <x:v>0.0016990798226269044</x:v>
      </x:c>
      <x:c r="K40" s="2"/>
      <x:c r="L40" s="2"/>
      <x:c r="M40" s="2"/>
      <x:c r="N40" s="2"/>
    </x:row>
    <x:row r="41" ht="21" customHeight="1">
      <x:c r="A41" s="10" t="n">
        <x:f>A30</x:f>
        <x:v>1.668</x:v>
      </x:c>
      <x:c r="B41" s="20" t="n">
        <x:f>A41*$C$6/$C$10</x:f>
        <x:v>9144924.770642202</x:v>
      </x:c>
      <x:c r="C41" s="20" t="n">
        <x:f>D30*$C$15/$C$12</x:f>
        <x:v>3835448060.237603</x:v>
      </x:c>
      <x:c r="D41" s="21" t="n">
        <x:f>B30/(0.5*$C$9*$C$8*A30^2)</x:f>
        <x:v>0.0036694643527228105</x:v>
      </x:c>
      <x:c r="E41" s="21" t="n">
        <x:f>0.075/(LOG10(B41)-2)^2</x:f>
        <x:v>0.0030471320199234463</x:v>
      </x:c>
      <x:c r="F41" s="21" t="n">
        <x:f>0.075/(LOG10(C41)-2)^2</x:f>
        <x:v>0.0013040242754848088</x:v>
      </x:c>
      <x:c r="G41" s="21" t="n">
        <x:f>D41-E41</x:f>
        <x:v>0.0006223323327993642</x:v>
      </x:c>
      <x:c r="H41" s="21" t="n">
        <x:f>D41-(1+$C$13)*E41</x:f>
        <x:v>0.0003359019229265598</x:v>
      </x:c>
      <x:c r="I41" s="21" t="n">
        <x:f>G41+F41</x:f>
        <x:v>0.001926356608284173</x:v>
      </x:c>
      <x:c r="J41" s="21" t="n">
        <x:f>H41+(1+$C$13)*F41</x:f>
        <x:v>0.0017625044803069407</x:v>
      </x:c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30" customHeight="1">
      <x:c r="A43" s="18" t="str">
        <x:v>CF = 0,075/(log10 Re − 2)². Froude: CRm = CTm − CFm. Hughes: CWm = CTm − (1+k)CFm. O mesmo k é usado nas duas escalas.</x:v>
      </x:c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6" t="str">
        <x:v>Resistência e potência em função da velocidade</x:v>
      </x:c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6" t="str">
        <x:v>Verificação com o exercício fornecido</x:v>
      </x:c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</x:row>
    <x:row r="85" ht="32" customHeight="1">
      <x:c r="A85" s="7" t="str">
        <x:v>Comprimento do modelo</x:v>
      </x:c>
      <x:c r="B85" s="7"/>
      <x:c r="C85" s="9" t="n">
        <x:v>4.3</x:v>
      </x:c>
      <x:c r="D85" s="2" t="str">
        <x:v>m</x:v>
      </x:c>
      <x:c r="E85" s="2"/>
      <x:c r="F85" s="15" t="str">
        <x:v>Grandeza</x:v>
      </x:c>
      <x:c r="G85" s="15" t="str">
        <x:v>Exercício</x:v>
      </x:c>
      <x:c r="H85" s="15" t="str">
        <x:v>Planilha</x:v>
      </x:c>
      <x:c r="I85" s="15" t="str">
        <x:v>Diferença (%)</x:v>
      </x:c>
      <x:c r="J85" s="15" t="str">
        <x:v>Unidade</x:v>
      </x:c>
      <x:c r="K85" s="7" t="str">
        <x:v>Vs (m/s)</x:v>
      </x:c>
      <x:c r="L85" s="7"/>
      <x:c r="M85" s="21" t="n">
        <x:f>C97*SQRT(C86)</x:f>
        <x:v>8.215838362577491</x:v>
      </x:c>
      <x:c r="N85" s="2"/>
    </x:row>
    <x:row r="86" ht="21" customHeight="1">
      <x:c r="A86" s="7" t="str">
        <x:v>Escala Ls/Lm</x:v>
      </x:c>
      <x:c r="B86" s="7"/>
      <x:c r="C86" s="9" t="n">
        <x:v>30</x:v>
      </x:c>
      <x:c r="D86" s="2" t="str">
        <x:v>—</x:v>
      </x:c>
      <x:c r="E86" s="2"/>
      <x:c r="F86" s="2" t="str">
        <x:v>Velocidade</x:v>
      </x:c>
      <x:c r="G86" s="22" t="n">
        <x:v>8.22</x:v>
      </x:c>
      <x:c r="H86" s="22" t="n">
        <x:f>M85</x:f>
        <x:v>8.215838362577491</x:v>
      </x:c>
      <x:c r="I86" s="10" t="n">
        <x:f>ABS(H86/G86-1)*100</x:f>
        <x:v>0.05062819248794481</x:v>
      </x:c>
      <x:c r="J86" s="2" t="str">
        <x:v>m/s</x:v>
      </x:c>
      <x:c r="K86" s="7" t="str">
        <x:v>Fn</x:v>
      </x:c>
      <x:c r="L86" s="7"/>
      <x:c r="M86" s="21" t="n">
        <x:f>C97/SQRT(C93*C85)</x:f>
        <x:v>0.23095242546702505</x:v>
      </x:c>
      <x:c r="N86" s="2"/>
    </x:row>
    <x:row r="87" ht="21" customHeight="1">
      <x:c r="A87" s="7" t="str">
        <x:v>Área molhada do modelo</x:v>
      </x:c>
      <x:c r="B87" s="7"/>
      <x:c r="C87" s="9" t="n">
        <x:v>3.75</x:v>
      </x:c>
      <x:c r="D87" s="2" t="str">
        <x:v>m²</x:v>
      </x:c>
      <x:c r="E87" s="2"/>
      <x:c r="F87" s="2" t="str">
        <x:v>Froude</x:v>
      </x:c>
      <x:c r="G87" s="22" t="n">
        <x:v>0.23</x:v>
      </x:c>
      <x:c r="H87" s="22" t="n">
        <x:f>M86</x:f>
        <x:v>0.23095242546702505</x:v>
      </x:c>
      <x:c r="I87" s="10" t="n">
        <x:f>ABS(H87/G87-1)*100</x:f>
        <x:v>0.41409802914131877</x:v>
      </x:c>
      <x:c r="J87" s="2" t="str">
        <x:v>—</x:v>
      </x:c>
      <x:c r="K87" s="7" t="str">
        <x:v>Re modelo</x:v>
      </x:c>
      <x:c r="L87" s="7"/>
      <x:c r="M87" s="20" t="n">
        <x:f>C97*C85/C89</x:f>
        <x:v>5657894.736842104</x:v>
      </x:c>
      <x:c r="N87" s="2"/>
    </x:row>
    <x:row r="88" ht="21" customHeight="1">
      <x:c r="A88" s="7" t="str">
        <x:v>Densidade da água, modelo</x:v>
      </x:c>
      <x:c r="B88" s="7"/>
      <x:c r="C88" s="9" t="n">
        <x:v>1000</x:v>
      </x:c>
      <x:c r="D88" s="2" t="str">
        <x:v>kg/m³</x:v>
      </x:c>
      <x:c r="E88" s="2"/>
      <x:c r="F88" s="2" t="str">
        <x:v>RT Froude</x:v>
      </x:c>
      <x:c r="G88" s="22" t="n">
        <x:v>292.18</x:v>
      </x:c>
      <x:c r="H88" s="22" t="n">
        <x:f>M96</x:f>
        <x:v>291.78327719585656</x:v>
      </x:c>
      <x:c r="I88" s="10" t="n">
        <x:f>ABS(H88/G88-1)*100</x:f>
        <x:v>0.13578027385291458</x:v>
      </x:c>
      <x:c r="J88" s="2" t="str">
        <x:v>kN</x:v>
      </x:c>
      <x:c r="K88" s="7" t="str">
        <x:v>Re protótipo</x:v>
      </x:c>
      <x:c r="L88" s="7"/>
      <x:c r="M88" s="20" t="n">
        <x:f>M85*C94/C91</x:f>
        <x:v>890624494.7668036</x:v>
      </x:c>
      <x:c r="N88" s="2"/>
    </x:row>
    <x:row r="89" ht="21" customHeight="1">
      <x:c r="A89" s="7" t="str">
        <x:v>Viscosidade cinemática, modelo</x:v>
      </x:c>
      <x:c r="B89" s="7"/>
      <x:c r="C89" s="11" t="n">
        <x:v>0.00000114</x:v>
      </x:c>
      <x:c r="D89" s="2" t="str">
        <x:v>m²/s</x:v>
      </x:c>
      <x:c r="E89" s="2"/>
      <x:c r="F89" s="2" t="str">
        <x:v>RT Hughes</x:v>
      </x:c>
      <x:c r="G89" s="22" t="n">
        <x:v>261.2</x:v>
      </x:c>
      <x:c r="H89" s="22" t="n">
        <x:f>M97</x:f>
        <x:v>260.82826877523513</x:v>
      </x:c>
      <x:c r="I89" s="10" t="n">
        <x:f>ABS(H89/G89-1)*100</x:f>
        <x:v>0.14231670167107469</x:v>
      </x:c>
      <x:c r="J89" s="2" t="str">
        <x:v>kN</x:v>
      </x:c>
      <x:c r="K89" s="7" t="str">
        <x:v>CTm</x:v>
      </x:c>
      <x:c r="L89" s="7"/>
      <x:c r="M89" s="21" t="n">
        <x:f>C98/(0.5*C88*C87*C97^2)</x:f>
        <x:v>0.004266666666666667</x:v>
      </x:c>
      <x:c r="N89" s="2"/>
    </x:row>
    <x:row r="90" ht="21" customHeight="1">
      <x:c r="A90" s="7" t="str">
        <x:v>Densidade da água, protótipo</x:v>
      </x:c>
      <x:c r="B90" s="7"/>
      <x:c r="C90" s="9" t="n">
        <x:v>1025</x:v>
      </x:c>
      <x:c r="D90" s="2" t="str">
        <x:v>kg/m³</x:v>
      </x:c>
      <x:c r="E90" s="2"/>
      <x:c r="F90" s="2" t="str">
        <x:v>PE Froude</x:v>
      </x:c>
      <x:c r="G90" s="22" t="n">
        <x:v>2401.7</x:v>
      </x:c>
      <x:c r="H90" s="22" t="n">
        <x:f>M98</x:f>
        <x:v>2397.2442423443003</x:v>
      </x:c>
      <x:c r="I90" s="10" t="n">
        <x:f>ABS(H90/G90-1)*100</x:f>
        <x:v>0.18552515533578617</x:v>
      </x:c>
      <x:c r="J90" s="2" t="str">
        <x:v>kW</x:v>
      </x:c>
      <x:c r="K90" s="7" t="str">
        <x:v>CFm</x:v>
      </x:c>
      <x:c r="L90" s="7"/>
      <x:c r="M90" s="21" t="n">
        <x:f>0.075/(LOG10(M87)-2)^2</x:f>
        <x:v>0.0033203870336629875</x:v>
      </x:c>
      <x:c r="N90" s="2"/>
    </x:row>
    <x:row r="91" ht="21" customHeight="1">
      <x:c r="A91" s="7" t="str">
        <x:v>Viscosidade cinemática, protótipo</x:v>
      </x:c>
      <x:c r="B91" s="7"/>
      <x:c r="C91" s="11" t="n">
        <x:v>0.00000119</x:v>
      </x:c>
      <x:c r="D91" s="2" t="str">
        <x:v>m²/s</x:v>
      </x:c>
      <x:c r="E91" s="2"/>
      <x:c r="F91" s="2" t="str">
        <x:v>PE Hughes</x:v>
      </x:c>
      <x:c r="G91" s="22" t="n">
        <x:v>2147.1</x:v>
      </x:c>
      <x:c r="H91" s="22" t="n">
        <x:f>M99</x:f>
        <x:v>2142.9228966482497</x:v>
      </x:c>
      <x:c r="I91" s="10" t="n">
        <x:f>ABS(H91/G91-1)*100</x:f>
        <x:v>0.19454628809790764</x:v>
      </x:c>
      <x:c r="J91" s="2" t="str">
        <x:v>kW</x:v>
      </x:c>
      <x:c r="K91" s="7" t="str">
        <x:v>CFs</x:v>
      </x:c>
      <x:c r="L91" s="7"/>
      <x:c r="M91" s="21" t="n">
        <x:f>0.075/(LOG10(M88)-2)^2</x:f>
        <x:v>0.001552851116172917</x:v>
      </x:c>
      <x:c r="N91" s="2"/>
    </x:row>
    <x:row r="92" ht="21" customHeight="1">
      <x:c r="A92" s="7" t="str">
        <x:v>Fator de forma k</x:v>
      </x:c>
      <x:c r="B92" s="7"/>
      <x:c r="C92" s="9" t="n">
        <x:v>0.15</x:v>
      </x:c>
      <x:c r="D92" s="2" t="str">
        <x:v>—</x:v>
      </x:c>
      <x:c r="E92" s="2"/>
      <x:c r="F92" s="2"/>
      <x:c r="G92" s="2"/>
      <x:c r="H92" s="2"/>
      <x:c r="I92" s="2"/>
      <x:c r="J92" s="2"/>
      <x:c r="K92" s="7" t="str">
        <x:v>CRm</x:v>
      </x:c>
      <x:c r="L92" s="7"/>
      <x:c r="M92" s="21" t="n">
        <x:f>M89-M90</x:f>
        <x:v>0.0009462796330036794</x:v>
      </x:c>
      <x:c r="N92" s="2"/>
    </x:row>
    <x:row r="93" ht="21" customHeight="1">
      <x:c r="A93" s="7" t="str">
        <x:v>Aceleração da gravidade</x:v>
      </x:c>
      <x:c r="B93" s="7"/>
      <x:c r="C93" s="9" t="n">
        <x:v>9.81</x:v>
      </x:c>
      <x:c r="D93" s="2" t="str">
        <x:v>m/s²</x:v>
      </x:c>
      <x:c r="E93" s="2"/>
      <x:c r="F93" s="18" t="str">
        <x:v>As diferenças em RT e PE são inferiores a 0,2%. O exercício arredonda a velocidade e os coeficientes durante as contas.</x:v>
      </x:c>
      <x:c r="G93" s="18"/>
      <x:c r="H93" s="18"/>
      <x:c r="I93" s="18"/>
      <x:c r="J93" s="18"/>
      <x:c r="K93" s="7" t="str">
        <x:v>CWm</x:v>
      </x:c>
      <x:c r="L93" s="7"/>
      <x:c r="M93" s="21" t="n">
        <x:f>M89-(1+C92)*M90</x:f>
        <x:v>0.00044822157795423173</x:v>
      </x:c>
      <x:c r="N93" s="2"/>
    </x:row>
    <x:row r="94" ht="21" customHeight="1">
      <x:c r="A94" s="7" t="str">
        <x:v>Comprimento do protótipo</x:v>
      </x:c>
      <x:c r="B94" s="7"/>
      <x:c r="C94" s="10" t="n">
        <x:f>C85*C86</x:f>
        <x:v>129</x:v>
      </x:c>
      <x:c r="D94" s="2" t="str">
        <x:v>m</x:v>
      </x:c>
      <x:c r="E94" s="2"/>
      <x:c r="F94" s="18"/>
      <x:c r="G94" s="18"/>
      <x:c r="H94" s="18"/>
      <x:c r="I94" s="18"/>
      <x:c r="J94" s="18"/>
      <x:c r="K94" s="7" t="str">
        <x:v>CTs Froude</x:v>
      </x:c>
      <x:c r="L94" s="7"/>
      <x:c r="M94" s="21" t="n">
        <x:f>M92+M91</x:f>
        <x:v>0.002499130749176596</x:v>
      </x:c>
      <x:c r="N94" s="2"/>
    </x:row>
    <x:row r="95" ht="21" customHeight="1">
      <x:c r="A95" s="7" t="str">
        <x:v>Área molhada do protótipo</x:v>
      </x:c>
      <x:c r="B95" s="7"/>
      <x:c r="C95" s="10" t="n">
        <x:f>C87*C86^2</x:f>
        <x:v>3375</x:v>
      </x:c>
      <x:c r="D95" s="2" t="str">
        <x:v>m²</x:v>
      </x:c>
      <x:c r="E95" s="2"/>
      <x:c r="F95" s="18"/>
      <x:c r="G95" s="18"/>
      <x:c r="H95" s="18"/>
      <x:c r="I95" s="18"/>
      <x:c r="J95" s="18"/>
      <x:c r="K95" s="7" t="str">
        <x:v>CTs Hughes</x:v>
      </x:c>
      <x:c r="L95" s="7"/>
      <x:c r="M95" s="21" t="n">
        <x:f>M93+(1+C92)*M91</x:f>
        <x:v>0.002234000361553086</x:v>
      </x:c>
      <x:c r="N95" s="2"/>
    </x:row>
    <x:row r="96" ht="21" customHeight="1">
      <x:c r="A96" s="7" t="str">
        <x:v>Conversão de nó para m/s</x:v>
      </x:c>
      <x:c r="B96" s="7"/>
      <x:c r="C96" s="10" t="n">
        <x:v>0.5144444444444445</x:v>
      </x:c>
      <x:c r="D96" s="2" t="str">
        <x:v>m/s</x:v>
      </x:c>
      <x:c r="E96" s="2"/>
      <x:c r="F96" s="18"/>
      <x:c r="G96" s="18"/>
      <x:c r="H96" s="18"/>
      <x:c r="I96" s="18"/>
      <x:c r="J96" s="18"/>
      <x:c r="K96" s="7" t="str">
        <x:v>RT Froude (kN)</x:v>
      </x:c>
      <x:c r="L96" s="7"/>
      <x:c r="M96" s="22" t="n">
        <x:f>M94*0.5*C90*C95*M85^2/1000</x:f>
        <x:v>291.78327719585656</x:v>
      </x:c>
      <x:c r="N96" s="2"/>
    </x:row>
    <x:row r="97" ht="21" customHeight="1">
      <x:c r="A97" s="7" t="str">
        <x:v>Velocidade do modelo</x:v>
      </x:c>
      <x:c r="B97" s="7"/>
      <x:c r="C97" s="8" t="n">
        <x:v>1.5</x:v>
      </x:c>
      <x:c r="D97" s="2" t="str">
        <x:v>m/s</x:v>
      </x:c>
      <x:c r="E97" s="2"/>
      <x:c r="F97" s="2"/>
      <x:c r="G97" s="2"/>
      <x:c r="H97" s="2"/>
      <x:c r="I97" s="2"/>
      <x:c r="J97" s="2"/>
      <x:c r="K97" s="7" t="str">
        <x:v>RT Hughes (kN)</x:v>
      </x:c>
      <x:c r="L97" s="7"/>
      <x:c r="M97" s="22" t="n">
        <x:f>M95*0.5*C90*C95*M85^2/1000</x:f>
        <x:v>260.82826877523513</x:v>
      </x:c>
      <x:c r="N97" s="2"/>
    </x:row>
    <x:row r="98" ht="21" customHeight="1">
      <x:c r="A98" s="7" t="str">
        <x:v>Resistência do modelo</x:v>
      </x:c>
      <x:c r="B98" s="7"/>
      <x:c r="C98" s="8" t="n">
        <x:v>18</x:v>
      </x:c>
      <x:c r="D98" s="2" t="str">
        <x:v>N</x:v>
      </x:c>
      <x:c r="E98" s="2"/>
      <x:c r="F98" s="2"/>
      <x:c r="G98" s="2"/>
      <x:c r="H98" s="2"/>
      <x:c r="I98" s="2"/>
      <x:c r="J98" s="2"/>
      <x:c r="K98" s="7" t="str">
        <x:v>PE Froude (kW)</x:v>
      </x:c>
      <x:c r="L98" s="7"/>
      <x:c r="M98" s="22" t="n">
        <x:f>M96*M85</x:f>
        <x:v>2397.2442423443003</x:v>
      </x:c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7" t="str">
        <x:v>PE Hughes (kW)</x:v>
      </x:c>
      <x:c r="L99" s="7"/>
      <x:c r="M99" s="22" t="n">
        <x:f>M97*M85</x:f>
        <x:v>2142.9228966482497</x:v>
      </x:c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6" t="str">
        <x:v>Dados originais e referências</x:v>
      </x:c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32" customHeight="1">
      <x:c r="A105" s="15" t="str">
        <x:v>Vm (m/s)</x:v>
      </x:c>
      <x:c r="B105" s="15" t="str">
        <x:v>Fn</x:v>
      </x:c>
      <x:c r="C105" s="15" t="str">
        <x:v>Re / 10⁶</x:v>
      </x:c>
      <x:c r="D105" s="15" t="str">
        <x:v>RTm (N)</x:v>
      </x:c>
      <x:c r="E105" s="15" t="str">
        <x:v>RFm (N)</x:v>
      </x:c>
      <x:c r="F105" s="15" t="str">
        <x:v>CTm × 10³</x:v>
      </x:c>
      <x:c r="G105" s="15" t="str">
        <x:v>CFm × 10³</x:v>
      </x:c>
      <x:c r="H105" s="15" t="str">
        <x:v>CWm × 10⁴</x:v>
      </x:c>
      <x:c r="I105" s="2"/>
      <x:c r="J105" s="2"/>
      <x:c r="K105" s="2"/>
      <x:c r="L105" s="2"/>
      <x:c r="M105" s="2"/>
      <x:c r="N105" s="2"/>
    </x:row>
    <x:row r="106" ht="21" customHeight="1">
      <x:c r="A106" s="10" t="n">
        <x:v>1.335</x:v>
      </x:c>
      <x:c r="B106" s="10" t="n">
        <x:v>0.174</x:v>
      </x:c>
      <x:c r="C106" s="10" t="n">
        <x:v>7.319</x:v>
      </x:c>
      <x:c r="D106" s="10" t="n">
        <x:v>20.34</x:v>
      </x:c>
      <x:c r="E106" s="10" t="n">
        <x:v>17.611</x:v>
      </x:c>
      <x:c r="F106" s="10" t="n">
        <x:v>3.661</x:v>
      </x:c>
      <x:c r="G106" s="10" t="n">
        <x:v>3.17</x:v>
      </x:c>
      <x:c r="H106" s="10" t="n">
        <x:v>1.932</x:v>
      </x:c>
      <x:c r="I106" s="2"/>
      <x:c r="J106" s="2"/>
      <x:c r="K106" s="2"/>
      <x:c r="L106" s="2"/>
      <x:c r="M106" s="2"/>
      <x:c r="N106" s="2"/>
    </x:row>
    <x:row r="107" ht="21" customHeight="1">
      <x:c r="A107" s="10" t="n">
        <x:v>1.401</x:v>
      </x:c>
      <x:c r="B107" s="10" t="n">
        <x:v>0.183</x:v>
      </x:c>
      <x:c r="C107" s="10" t="n">
        <x:v>7.681</x:v>
      </x:c>
      <x:c r="D107" s="10" t="n">
        <x:v>22.06</x:v>
      </x:c>
      <x:c r="E107" s="10" t="n">
        <x:v>19.229</x:v>
      </x:c>
      <x:c r="F107" s="10" t="n">
        <x:v>3.605</x:v>
      </x:c>
      <x:c r="G107" s="10" t="n">
        <x:v>3.142</x:v>
      </x:c>
      <x:c r="H107" s="10" t="n">
        <x:v>1.672</x:v>
      </x:c>
      <x:c r="I107" s="2"/>
      <x:c r="J107" s="2"/>
      <x:c r="K107" s="2"/>
      <x:c r="L107" s="2"/>
      <x:c r="M107" s="2"/>
      <x:c r="N107" s="2"/>
    </x:row>
    <x:row r="108" ht="21" customHeight="1">
      <x:c r="A108" s="10" t="n">
        <x:v>1.469</x:v>
      </x:c>
      <x:c r="B108" s="10" t="n">
        <x:v>0.192</x:v>
      </x:c>
      <x:c r="C108" s="10" t="n">
        <x:v>8.054</x:v>
      </x:c>
      <x:c r="D108" s="10" t="n">
        <x:v>24.14</x:v>
      </x:c>
      <x:c r="E108" s="10" t="n">
        <x:v>20.964</x:v>
      </x:c>
      <x:c r="F108" s="10" t="n">
        <x:v>3.588</x:v>
      </x:c>
      <x:c r="G108" s="10" t="n">
        <x:v>3.116</x:v>
      </x:c>
      <x:c r="H108" s="10" t="n">
        <x:v>1.791</x:v>
      </x:c>
      <x:c r="I108" s="2"/>
      <x:c r="J108" s="2"/>
      <x:c r="K108" s="2"/>
      <x:c r="L108" s="2"/>
      <x:c r="M108" s="2"/>
      <x:c r="N108" s="2"/>
    </x:row>
    <x:row r="109" ht="21" customHeight="1">
      <x:c r="A109" s="10" t="n">
        <x:v>1.535</x:v>
      </x:c>
      <x:c r="B109" s="10" t="n">
        <x:v>0.2</x:v>
      </x:c>
      <x:c r="C109" s="10" t="n">
        <x:v>8.415</x:v>
      </x:c>
      <x:c r="D109" s="10" t="n">
        <x:v>26.46</x:v>
      </x:c>
      <x:c r="E109" s="10" t="n">
        <x:v>22.713</x:v>
      </x:c>
      <x:c r="F109" s="10" t="n">
        <x:v>3.602</x:v>
      </x:c>
      <x:c r="G109" s="10" t="n">
        <x:v>3.092</x:v>
      </x:c>
      <x:c r="H109" s="10" t="n">
        <x:v>2.194</x:v>
      </x:c>
      <x:c r="I109" s="2"/>
      <x:c r="J109" s="2"/>
      <x:c r="K109" s="2"/>
      <x:c r="L109" s="2"/>
      <x:c r="M109" s="2"/>
      <x:c r="N109" s="2"/>
    </x:row>
    <x:row r="110" ht="21" customHeight="1">
      <x:c r="A110" s="10" t="n">
        <x:v>1.602</x:v>
      </x:c>
      <x:c r="B110" s="10" t="n">
        <x:v>0.209</x:v>
      </x:c>
      <x:c r="C110" s="10" t="n">
        <x:v>8.783</x:v>
      </x:c>
      <x:c r="D110" s="10" t="n">
        <x:v>28.99</x:v>
      </x:c>
      <x:c r="E110" s="10" t="n">
        <x:v>24.554</x:v>
      </x:c>
      <x:c r="F110" s="10" t="n">
        <x:v>3.623</x:v>
      </x:c>
      <x:c r="G110" s="10" t="n">
        <x:v>3.069</x:v>
      </x:c>
      <x:c r="H110" s="10" t="n">
        <x:v>2.66</x:v>
      </x:c>
      <x:c r="I110" s="2"/>
      <x:c r="J110" s="2"/>
      <x:c r="K110" s="2"/>
      <x:c r="L110" s="2"/>
      <x:c r="M110" s="2"/>
      <x:c r="N110" s="2"/>
    </x:row>
    <x:row r="111" ht="21" customHeight="1">
      <x:c r="A111" s="10" t="n">
        <x:v>1.668</x:v>
      </x:c>
      <x:c r="B111" s="10" t="n">
        <x:v>0.218</x:v>
      </x:c>
      <x:c r="C111" s="10" t="n">
        <x:v>9.145</x:v>
      </x:c>
      <x:c r="D111" s="10" t="n">
        <x:v>31.83</x:v>
      </x:c>
      <x:c r="E111" s="10" t="n">
        <x:v>26.431</x:v>
      </x:c>
      <x:c r="F111" s="10" t="n">
        <x:v>3.67</x:v>
      </x:c>
      <x:c r="G111" s="10" t="n">
        <x:v>3.047</x:v>
      </x:c>
      <x:c r="H111" s="10" t="n">
        <x:v>3.36</x:v>
      </x:c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30" customHeight="1">
      <x:c r="A113" s="18" t="str">
        <x:v>Ould el Moctar, O.; Shigunov, V.; Zorn, T. (2012). Duisburg Test Case: Post-Panamax Container Ship for Benchmarking. Ship Technology Research, 59(3), 50–64. Tabelas 1 e 4.</x:v>
      </x:c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</x:row>
    <x:row r="114" ht="30" customHeight="1">
      <x:c r="A114" s="18" t="str">
        <x:v>https://doi.org/10.1179/str.2012.59.3.004    Imagem: https://doi.org/10.3390/jmse9010062</x:v>
      </x:c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</x:row>
    <x:row r="115" ht="30" customHeight="1">
      <x:c r="A115" s="18" t="str">
        <x:v>Água do protótipo: ρs = 1025 kg/m³ e νs = 1,19×10⁻⁶ m²/s, adotados conforme o exercício. Área e comprimento do protótipo calculados pela escala geométrica.</x:v>
      </x:c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 ht="30" customHeight="1">
      <x:c r="A116" s="18" t="str">
        <x:v>Exercício de referência: exercicio extrapolacao 2 metodos (1).pdf, páginas 1–3. https://drive.google.com/file/d/1H4lufzrVuZu0SCk1UfES0gTV0OTlRWwg/view</x:v>
      </x:c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</x:sheetData>
  <x:mergeCells>
    <x:mergeCell ref="A2:N2"/>
    <x:mergeCell ref="A3:N3"/>
    <x:mergeCell ref="A5:N5"/>
    <x:mergeCell ref="A6:B6"/>
    <x:mergeCell ref="A7:B7"/>
    <x:mergeCell ref="A8:B8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A17:B17"/>
    <x:mergeCell ref="F14:H14"/>
    <x:mergeCell ref="I19:N19"/>
    <x:mergeCell ref="A21:N21"/>
    <x:mergeCell ref="A23:N23"/>
    <x:mergeCell ref="K25:N26"/>
    <x:mergeCell ref="K28:N30"/>
    <x:mergeCell ref="A33:N33"/>
    <x:mergeCell ref="A43:N43"/>
    <x:mergeCell ref="A45:N45"/>
    <x:mergeCell ref="A84:N84"/>
    <x:mergeCell ref="A85:B85"/>
    <x:mergeCell ref="A86:B86"/>
    <x:mergeCell ref="A87:B87"/>
    <x:mergeCell ref="A88:B88"/>
    <x:mergeCell ref="A89:B89"/>
    <x:mergeCell ref="A90:B90"/>
    <x:mergeCell ref="A91:B91"/>
    <x:mergeCell ref="A92:B92"/>
    <x:mergeCell ref="A93:B93"/>
    <x:mergeCell ref="A94:B94"/>
    <x:mergeCell ref="A95:B95"/>
    <x:mergeCell ref="A96:B96"/>
    <x:mergeCell ref="A97:B97"/>
    <x:mergeCell ref="A98:B98"/>
    <x:mergeCell ref="K85:L85"/>
    <x:mergeCell ref="K86:L86"/>
    <x:mergeCell ref="K87:L87"/>
    <x:mergeCell ref="K88:L88"/>
    <x:mergeCell ref="K89:L89"/>
    <x:mergeCell ref="K90:L90"/>
    <x:mergeCell ref="K91:L91"/>
    <x:mergeCell ref="K92:L92"/>
    <x:mergeCell ref="K93:L93"/>
    <x:mergeCell ref="K94:L94"/>
    <x:mergeCell ref="K95:L95"/>
    <x:mergeCell ref="K96:L96"/>
    <x:mergeCell ref="K97:L97"/>
    <x:mergeCell ref="K98:L98"/>
    <x:mergeCell ref="K99:L99"/>
    <x:mergeCell ref="F93:J96"/>
    <x:mergeCell ref="A103:N103"/>
    <x:mergeCell ref="A113:N113"/>
    <x:mergeCell ref="A114:N114"/>
    <x:mergeCell ref="A115:N115"/>
    <x:mergeCell ref="A116:N116"/>
  </x:mergeCells>
  <x:conditionalFormatting sqref="H36:H41">
    <x:cfRule type="cellIs" dxfId="0" priority="1" operator="lessThan">
      <x:formula>0</x:formula>
    </x:cfRule>
  </x:conditionalFormatting>
  <x:dataValidations count="7">
    <x:dataValidation type="decimal" operator="greaterThan" sqref="C6:C12">
      <x:formula1>0</x:formula1>
    </x:dataValidation>
    <x:dataValidation type="decimal" operator="greaterThanOrEqual" sqref="C13">
      <x:formula1>0</x:formula1>
    </x:dataValidation>
    <x:dataValidation type="decimal" operator="greaterThan" sqref="C14">
      <x:formula1>0</x:formula1>
    </x:dataValidation>
    <x:dataValidation type="decimal" operator="greaterThan" sqref="F7:G12">
      <x:formula1>0</x:formula1>
    </x:dataValidation>
    <x:dataValidation type="decimal" operator="greaterThan" sqref="C85:C91">
      <x:formula1>0</x:formula1>
    </x:dataValidation>
    <x:dataValidation type="decimal" operator="greaterThanOrEqual" sqref="C92">
      <x:formula1>0</x:formula1>
    </x:dataValidation>
    <x:dataValidation type="decimal" operator="greaterThan" sqref="C93">
      <x:formula1>0</x:formula1>
    </x:dataValidation>
  </x:dataValidations>
  <x:pageMargins left="0.7" right="0.7" top="0.75" bottom="0.75" header="0.3" footer="0.3"/>
  <x:drawing xmlns:r="http://schemas.openxmlformats.org/officeDocument/2006/relationships" r:id="R9b6418ead5424c4f"/>
</x:worksheet>
</file>